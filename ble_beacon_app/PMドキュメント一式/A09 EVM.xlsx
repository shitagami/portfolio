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M週次データ" sheetId="1" r:id="rId4"/>
  </sheets>
  <definedNames/>
  <calcPr/>
  <extLst>
    <ext uri="GoogleSheetsCustomDataVersion2">
      <go:sheetsCustomData xmlns:go="http://customooxmlschemas.google.com/" r:id="rId5" roundtripDataChecksum="A6ed8iVD3wzpmny/sG9wNwtX8PUc2j4AmUC+sFtH+hw="/>
    </ext>
  </extLst>
</workbook>
</file>

<file path=xl/sharedStrings.xml><?xml version="1.0" encoding="utf-8"?>
<sst xmlns="http://schemas.openxmlformats.org/spreadsheetml/2006/main" count="9" uniqueCount="9">
  <si>
    <t>日付</t>
  </si>
  <si>
    <t>各週PV</t>
  </si>
  <si>
    <t>各週EV</t>
  </si>
  <si>
    <t>各週AC</t>
  </si>
  <si>
    <t>PV</t>
  </si>
  <si>
    <t>EV</t>
  </si>
  <si>
    <t>AC</t>
  </si>
  <si>
    <t>CV</t>
  </si>
  <si>
    <t>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</si>
</sst>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月&quot;d&quot;日&quot;"/>
  </numFmts>
  <fonts count="5">
    <font>
      <sz val="11.0"/>
      <color theme="1"/>
      <name val="Calibri"/>
      <scheme val="minor"/>
    </font>
    <font>
      <sz val="11.0"/>
      <color theme="1"/>
      <name val="MS PGothic"/>
    </font>
    <font>
      <b/>
      <sz val="11.0"/>
      <color theme="1"/>
      <name val="MS PGothic"/>
    </font>
    <font>
      <sz val="11.0"/>
      <color theme="1"/>
      <name val="MS PMincho"/>
    </font>
    <font>
      <sz val="11.0"/>
      <color rgb="FF000000"/>
      <name val="MS PMinch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1" fillId="0" fontId="2" numFmtId="0" xfId="0" applyBorder="1" applyFont="1"/>
    <xf borderId="4" fillId="0" fontId="2" numFmtId="0" xfId="0" applyBorder="1" applyFont="1"/>
    <xf borderId="5" fillId="0" fontId="1" numFmtId="164" xfId="0" applyBorder="1" applyFont="1" applyNumberFormat="1"/>
    <xf borderId="1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" fillId="0" fontId="1" numFmtId="164" xfId="0" applyBorder="1" applyFont="1" applyNumberForma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5" fillId="0" fontId="3" numFmtId="0" xfId="0" applyBorder="1" applyFont="1"/>
    <xf borderId="12" fillId="0" fontId="3" numFmtId="0" xfId="0" applyBorder="1" applyFont="1"/>
    <xf borderId="0" fillId="0" fontId="3" numFmtId="0" xfId="0" applyFont="1"/>
    <xf borderId="1" fillId="0" fontId="3" numFmtId="164" xfId="0" applyBorder="1" applyFont="1" applyNumberFormat="1"/>
    <xf borderId="2" fillId="0" fontId="3" numFmtId="0" xfId="0" applyBorder="1" applyFont="1"/>
    <xf borderId="4" fillId="0" fontId="3" numFmtId="0" xfId="0" applyBorder="1" applyFont="1"/>
    <xf borderId="5" fillId="0" fontId="3" numFmtId="164" xfId="0" applyBorder="1" applyFont="1" applyNumberFormat="1"/>
    <xf borderId="1" fillId="0" fontId="3" numFmtId="0" xfId="0" applyAlignment="1" applyBorder="1" applyFont="1">
      <alignment horizontal="right"/>
    </xf>
    <xf borderId="1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10" fillId="0" fontId="4" numFmtId="0" xfId="0" applyBorder="1" applyFont="1"/>
    <xf borderId="8" fillId="0" fontId="4" numFmtId="0" xfId="0" applyBorder="1" applyFont="1"/>
    <xf borderId="11" fillId="0" fontId="4" numFmtId="0" xfId="0" applyBorder="1" applyFont="1"/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EVM週次推移グラフ</a:t>
            </a:r>
          </a:p>
        </c:rich>
      </c:tx>
      <c:layout>
        <c:manualLayout>
          <c:xMode val="edge"/>
          <c:yMode val="edge"/>
          <c:x val="0.3122868518518518"/>
          <c:y val="0.02822222222222222"/>
        </c:manualLayout>
      </c:layout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'EVM週次データ'!$B$4:$B$35</c:f>
            </c:strRef>
          </c:cat>
          <c:val>
            <c:numRef>
              <c:f>'EVM週次データ'!$F$4:$F$30</c:f>
              <c:numCache/>
            </c:numRef>
          </c:val>
          <c:smooth val="0"/>
        </c:ser>
        <c:ser>
          <c:idx val="1"/>
          <c:order val="1"/>
          <c:tx>
            <c:v>EV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'EVM週次データ'!$B$4:$B$35</c:f>
            </c:strRef>
          </c:cat>
          <c:val>
            <c:numRef>
              <c:f>'EVM週次データ'!$G$4:$G$30</c:f>
              <c:numCache/>
            </c:numRef>
          </c:val>
          <c:smooth val="0"/>
        </c:ser>
        <c:ser>
          <c:idx val="2"/>
          <c:order val="2"/>
          <c:tx>
            <c:v>AC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'EVM週次データ'!$B$4:$B$35</c:f>
            </c:strRef>
          </c:cat>
          <c:val>
            <c:numRef>
              <c:f>'EVM週次データ'!$H$4:$H$30</c:f>
              <c:numCache/>
            </c:numRef>
          </c:val>
          <c:smooth val="0"/>
        </c:ser>
        <c:axId val="852989377"/>
        <c:axId val="294828362"/>
      </c:lineChart>
      <c:catAx>
        <c:axId val="852989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94828362"/>
      </c:catAx>
      <c:valAx>
        <c:axId val="294828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時間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52989377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552450</xdr:colOff>
      <xdr:row>4</xdr:row>
      <xdr:rowOff>38100</xdr:rowOff>
    </xdr:from>
    <xdr:ext cx="5391150" cy="3105150"/>
    <xdr:graphicFrame>
      <xdr:nvGraphicFramePr>
        <xdr:cNvPr id="871003560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26" width="8.71"/>
  </cols>
  <sheetData>
    <row r="1" ht="13.5" customHeight="1"/>
    <row r="2" ht="13.5" customHeight="1"/>
    <row r="3" ht="13.5" customHeight="1">
      <c r="B3" s="1" t="s">
        <v>0</v>
      </c>
      <c r="C3" s="2" t="s">
        <v>1</v>
      </c>
      <c r="D3" s="3" t="s">
        <v>2</v>
      </c>
      <c r="E3" s="2" t="s">
        <v>3</v>
      </c>
      <c r="F3" s="3" t="s">
        <v>4</v>
      </c>
      <c r="G3" s="4" t="s">
        <v>5</v>
      </c>
      <c r="H3" s="5" t="s">
        <v>6</v>
      </c>
      <c r="I3" s="2" t="s">
        <v>7</v>
      </c>
      <c r="J3" s="2" t="s">
        <v>8</v>
      </c>
    </row>
    <row r="4" ht="13.5" customHeight="1">
      <c r="B4" s="6">
        <v>45777.0</v>
      </c>
      <c r="C4" s="7">
        <v>37.0</v>
      </c>
      <c r="D4" s="7">
        <v>37.0</v>
      </c>
      <c r="E4" s="7">
        <v>50.5</v>
      </c>
      <c r="F4" s="7">
        <v>32.0</v>
      </c>
      <c r="G4" s="8">
        <f>SUM(G3,D4)</f>
        <v>37</v>
      </c>
      <c r="H4" s="7">
        <v>50.5</v>
      </c>
      <c r="I4" s="7">
        <f t="shared" ref="I4:I37" si="2">SUM(G4,-H4)</f>
        <v>-13.5</v>
      </c>
      <c r="J4" s="7">
        <f t="shared" ref="J4:J37" si="3">SUM(F4,-G4)</f>
        <v>-5</v>
      </c>
    </row>
    <row r="5" ht="13.5" customHeight="1">
      <c r="B5" s="6">
        <v>45784.0</v>
      </c>
      <c r="C5" s="7">
        <v>52.0</v>
      </c>
      <c r="D5" s="7">
        <v>52.0</v>
      </c>
      <c r="E5" s="8">
        <v>78.0</v>
      </c>
      <c r="F5" s="9">
        <f t="shared" ref="F5:H5" si="1">SUM(F4,C5)</f>
        <v>84</v>
      </c>
      <c r="G5" s="8">
        <f t="shared" si="1"/>
        <v>89</v>
      </c>
      <c r="H5" s="9">
        <f t="shared" si="1"/>
        <v>128.5</v>
      </c>
      <c r="I5" s="9">
        <f t="shared" si="2"/>
        <v>-39.5</v>
      </c>
      <c r="J5" s="10">
        <f t="shared" si="3"/>
        <v>-5</v>
      </c>
    </row>
    <row r="6" ht="13.5" customHeight="1">
      <c r="B6" s="11">
        <v>45791.0</v>
      </c>
      <c r="C6" s="12">
        <v>40.0</v>
      </c>
      <c r="D6" s="7">
        <v>40.0</v>
      </c>
      <c r="E6" s="7">
        <v>77.5</v>
      </c>
      <c r="F6" s="7">
        <f t="shared" ref="F6:H6" si="4">SUM(F5,C6)</f>
        <v>124</v>
      </c>
      <c r="G6" s="13">
        <f t="shared" si="4"/>
        <v>129</v>
      </c>
      <c r="H6" s="7">
        <f t="shared" si="4"/>
        <v>206</v>
      </c>
      <c r="I6" s="7">
        <f t="shared" si="2"/>
        <v>-77</v>
      </c>
      <c r="J6" s="14">
        <f t="shared" si="3"/>
        <v>-5</v>
      </c>
    </row>
    <row r="7" ht="13.5" customHeight="1">
      <c r="B7" s="11">
        <v>45798.0</v>
      </c>
      <c r="C7" s="15">
        <v>51.0</v>
      </c>
      <c r="D7" s="7">
        <v>51.0</v>
      </c>
      <c r="E7" s="7">
        <v>67.0</v>
      </c>
      <c r="F7" s="9">
        <f t="shared" ref="F7:H7" si="5">SUM(F6,C7)</f>
        <v>175</v>
      </c>
      <c r="G7" s="8">
        <f t="shared" si="5"/>
        <v>180</v>
      </c>
      <c r="H7" s="9">
        <f t="shared" si="5"/>
        <v>273</v>
      </c>
      <c r="I7" s="7">
        <f t="shared" si="2"/>
        <v>-93</v>
      </c>
      <c r="J7" s="14">
        <f t="shared" si="3"/>
        <v>-5</v>
      </c>
    </row>
    <row r="8" ht="13.5" customHeight="1">
      <c r="B8" s="11">
        <v>45805.0</v>
      </c>
      <c r="C8" s="15">
        <v>62.0</v>
      </c>
      <c r="D8" s="7">
        <v>62.0</v>
      </c>
      <c r="E8" s="7">
        <v>77.0</v>
      </c>
      <c r="F8" s="7">
        <f t="shared" ref="F8:H8" si="6">SUM(F7,C8)</f>
        <v>237</v>
      </c>
      <c r="G8" s="13">
        <f t="shared" si="6"/>
        <v>242</v>
      </c>
      <c r="H8" s="7">
        <f t="shared" si="6"/>
        <v>350</v>
      </c>
      <c r="I8" s="7">
        <f t="shared" si="2"/>
        <v>-108</v>
      </c>
      <c r="J8" s="14">
        <f t="shared" si="3"/>
        <v>-5</v>
      </c>
    </row>
    <row r="9" ht="13.5" customHeight="1">
      <c r="B9" s="11">
        <v>45812.0</v>
      </c>
      <c r="C9" s="15">
        <v>43.0</v>
      </c>
      <c r="D9" s="7">
        <v>43.0</v>
      </c>
      <c r="E9" s="7">
        <v>80.5</v>
      </c>
      <c r="F9" s="9">
        <f t="shared" ref="F9:H9" si="7">SUM(F8,C9)</f>
        <v>280</v>
      </c>
      <c r="G9" s="8">
        <f t="shared" si="7"/>
        <v>285</v>
      </c>
      <c r="H9" s="9">
        <f t="shared" si="7"/>
        <v>430.5</v>
      </c>
      <c r="I9" s="7">
        <f t="shared" si="2"/>
        <v>-145.5</v>
      </c>
      <c r="J9" s="14">
        <f t="shared" si="3"/>
        <v>-5</v>
      </c>
    </row>
    <row r="10" ht="13.5" customHeight="1">
      <c r="B10" s="11">
        <v>45819.0</v>
      </c>
      <c r="C10" s="15">
        <v>53.0</v>
      </c>
      <c r="D10" s="16">
        <v>53.0</v>
      </c>
      <c r="E10" s="13">
        <v>73.0</v>
      </c>
      <c r="F10" s="7">
        <f t="shared" ref="F10:H10" si="8">SUM(F9,C10)</f>
        <v>333</v>
      </c>
      <c r="G10" s="13">
        <f t="shared" si="8"/>
        <v>338</v>
      </c>
      <c r="H10" s="7">
        <f t="shared" si="8"/>
        <v>503.5</v>
      </c>
      <c r="I10" s="7">
        <f t="shared" si="2"/>
        <v>-165.5</v>
      </c>
      <c r="J10" s="14">
        <f t="shared" si="3"/>
        <v>-5</v>
      </c>
    </row>
    <row r="11" ht="13.5" customHeight="1">
      <c r="B11" s="11">
        <v>45826.0</v>
      </c>
      <c r="C11" s="15">
        <v>58.0</v>
      </c>
      <c r="D11" s="7">
        <v>52.0</v>
      </c>
      <c r="E11" s="17">
        <v>67.5</v>
      </c>
      <c r="F11" s="9">
        <f t="shared" ref="F11:H11" si="9">SUM(F10,C11)</f>
        <v>391</v>
      </c>
      <c r="G11" s="8">
        <f t="shared" si="9"/>
        <v>390</v>
      </c>
      <c r="H11" s="9">
        <f t="shared" si="9"/>
        <v>571</v>
      </c>
      <c r="I11" s="7">
        <f t="shared" si="2"/>
        <v>-181</v>
      </c>
      <c r="J11" s="14">
        <f t="shared" si="3"/>
        <v>1</v>
      </c>
    </row>
    <row r="12" ht="13.5" customHeight="1">
      <c r="B12" s="11">
        <v>45833.0</v>
      </c>
      <c r="C12" s="15">
        <v>51.0</v>
      </c>
      <c r="D12" s="16">
        <v>50.0</v>
      </c>
      <c r="E12" s="13">
        <v>66.0</v>
      </c>
      <c r="F12" s="7">
        <f t="shared" ref="F12:H12" si="10">SUM(F11,C12)</f>
        <v>442</v>
      </c>
      <c r="G12" s="13">
        <f t="shared" si="10"/>
        <v>440</v>
      </c>
      <c r="H12" s="7">
        <f t="shared" si="10"/>
        <v>637</v>
      </c>
      <c r="I12" s="7">
        <f t="shared" si="2"/>
        <v>-197</v>
      </c>
      <c r="J12" s="14">
        <f t="shared" si="3"/>
        <v>2</v>
      </c>
    </row>
    <row r="13" ht="13.5" customHeight="1">
      <c r="B13" s="11">
        <v>45840.0</v>
      </c>
      <c r="C13" s="15">
        <v>101.0</v>
      </c>
      <c r="D13" s="7">
        <v>100.0</v>
      </c>
      <c r="E13" s="17">
        <v>91.0</v>
      </c>
      <c r="F13" s="9">
        <f t="shared" ref="F13:H13" si="11">SUM(F12,C13)</f>
        <v>543</v>
      </c>
      <c r="G13" s="8">
        <f t="shared" si="11"/>
        <v>540</v>
      </c>
      <c r="H13" s="9">
        <f t="shared" si="11"/>
        <v>728</v>
      </c>
      <c r="I13" s="7">
        <f t="shared" si="2"/>
        <v>-188</v>
      </c>
      <c r="J13" s="14">
        <f t="shared" si="3"/>
        <v>3</v>
      </c>
    </row>
    <row r="14" ht="13.5" customHeight="1">
      <c r="B14" s="11">
        <v>45847.0</v>
      </c>
      <c r="C14" s="15">
        <v>82.0</v>
      </c>
      <c r="D14" s="16">
        <v>74.0</v>
      </c>
      <c r="E14" s="13">
        <v>69.0</v>
      </c>
      <c r="F14" s="7">
        <f t="shared" ref="F14:H14" si="12">SUM(F13,C14)</f>
        <v>625</v>
      </c>
      <c r="G14" s="13">
        <f t="shared" si="12"/>
        <v>614</v>
      </c>
      <c r="H14" s="7">
        <f t="shared" si="12"/>
        <v>797</v>
      </c>
      <c r="I14" s="7">
        <f t="shared" si="2"/>
        <v>-183</v>
      </c>
      <c r="J14" s="14">
        <f t="shared" si="3"/>
        <v>11</v>
      </c>
    </row>
    <row r="15" ht="13.5" customHeight="1">
      <c r="B15" s="11">
        <v>45854.0</v>
      </c>
      <c r="C15" s="15">
        <v>68.0</v>
      </c>
      <c r="D15" s="7">
        <v>68.0</v>
      </c>
      <c r="E15" s="17">
        <v>64.0</v>
      </c>
      <c r="F15" s="9">
        <f t="shared" ref="F15:H15" si="13">SUM(F14,C15)</f>
        <v>693</v>
      </c>
      <c r="G15" s="8">
        <f t="shared" si="13"/>
        <v>682</v>
      </c>
      <c r="H15" s="9">
        <f t="shared" si="13"/>
        <v>861</v>
      </c>
      <c r="I15" s="7">
        <f t="shared" si="2"/>
        <v>-179</v>
      </c>
      <c r="J15" s="14">
        <f t="shared" si="3"/>
        <v>11</v>
      </c>
    </row>
    <row r="16" ht="13.5" customHeight="1">
      <c r="B16" s="11">
        <v>45861.0</v>
      </c>
      <c r="C16" s="15">
        <v>32.0</v>
      </c>
      <c r="D16" s="16">
        <v>28.0</v>
      </c>
      <c r="E16" s="13">
        <v>29.0</v>
      </c>
      <c r="F16" s="7">
        <f t="shared" ref="F16:H16" si="14">SUM(F15,C16)</f>
        <v>725</v>
      </c>
      <c r="G16" s="13">
        <f t="shared" si="14"/>
        <v>710</v>
      </c>
      <c r="H16" s="7">
        <f t="shared" si="14"/>
        <v>890</v>
      </c>
      <c r="I16" s="7">
        <f t="shared" si="2"/>
        <v>-180</v>
      </c>
      <c r="J16" s="14">
        <f t="shared" si="3"/>
        <v>15</v>
      </c>
    </row>
    <row r="17" ht="13.5" customHeight="1">
      <c r="B17" s="11">
        <v>45868.0</v>
      </c>
      <c r="C17" s="15">
        <v>35.0</v>
      </c>
      <c r="D17" s="7">
        <v>35.0</v>
      </c>
      <c r="E17" s="13">
        <v>44.0</v>
      </c>
      <c r="F17" s="9">
        <f t="shared" ref="F17:H17" si="15">SUM(F16,C17)</f>
        <v>760</v>
      </c>
      <c r="G17" s="8">
        <f t="shared" si="15"/>
        <v>745</v>
      </c>
      <c r="H17" s="9">
        <f t="shared" si="15"/>
        <v>934</v>
      </c>
      <c r="I17" s="7">
        <f t="shared" si="2"/>
        <v>-189</v>
      </c>
      <c r="J17" s="14">
        <f t="shared" si="3"/>
        <v>15</v>
      </c>
    </row>
    <row r="18" ht="13.5" customHeight="1">
      <c r="B18" s="11">
        <v>45875.0</v>
      </c>
      <c r="C18" s="15">
        <v>76.0</v>
      </c>
      <c r="D18" s="7">
        <v>76.0</v>
      </c>
      <c r="E18" s="13">
        <v>85.0</v>
      </c>
      <c r="F18" s="7">
        <f t="shared" ref="F18:H18" si="16">SUM(F17,C18)</f>
        <v>836</v>
      </c>
      <c r="G18" s="13">
        <f t="shared" si="16"/>
        <v>821</v>
      </c>
      <c r="H18" s="7">
        <f t="shared" si="16"/>
        <v>1019</v>
      </c>
      <c r="I18" s="7">
        <f t="shared" si="2"/>
        <v>-198</v>
      </c>
      <c r="J18" s="14">
        <f t="shared" si="3"/>
        <v>15</v>
      </c>
    </row>
    <row r="19" ht="13.5" customHeight="1">
      <c r="B19" s="11">
        <v>45882.0</v>
      </c>
      <c r="C19" s="15">
        <v>106.0</v>
      </c>
      <c r="D19" s="7">
        <v>106.0</v>
      </c>
      <c r="E19" s="8">
        <v>109.0</v>
      </c>
      <c r="F19" s="9">
        <f t="shared" ref="F19:H19" si="17">SUM(F18,C19)</f>
        <v>942</v>
      </c>
      <c r="G19" s="8">
        <f t="shared" si="17"/>
        <v>927</v>
      </c>
      <c r="H19" s="9">
        <f t="shared" si="17"/>
        <v>1128</v>
      </c>
      <c r="I19" s="7">
        <f t="shared" si="2"/>
        <v>-201</v>
      </c>
      <c r="J19" s="14">
        <f t="shared" si="3"/>
        <v>15</v>
      </c>
    </row>
    <row r="20" ht="13.5" customHeight="1">
      <c r="B20" s="11">
        <v>45889.0</v>
      </c>
      <c r="C20" s="15">
        <v>142.0</v>
      </c>
      <c r="D20" s="7">
        <v>134.0</v>
      </c>
      <c r="E20" s="8">
        <v>104.0</v>
      </c>
      <c r="F20" s="7">
        <f t="shared" ref="F20:H20" si="18">SUM(F19,C20)</f>
        <v>1084</v>
      </c>
      <c r="G20" s="13">
        <f t="shared" si="18"/>
        <v>1061</v>
      </c>
      <c r="H20" s="7">
        <f t="shared" si="18"/>
        <v>1232</v>
      </c>
      <c r="I20" s="7">
        <f t="shared" si="2"/>
        <v>-171</v>
      </c>
      <c r="J20" s="14">
        <f t="shared" si="3"/>
        <v>23</v>
      </c>
    </row>
    <row r="21" ht="13.5" customHeight="1">
      <c r="B21" s="11">
        <v>45896.0</v>
      </c>
      <c r="C21" s="15">
        <v>120.0</v>
      </c>
      <c r="D21" s="7">
        <v>120.0</v>
      </c>
      <c r="E21" s="8">
        <v>90.0</v>
      </c>
      <c r="F21" s="9">
        <f t="shared" ref="F21:H21" si="19">SUM(F20,C21)</f>
        <v>1204</v>
      </c>
      <c r="G21" s="8">
        <f t="shared" si="19"/>
        <v>1181</v>
      </c>
      <c r="H21" s="9">
        <f t="shared" si="19"/>
        <v>1322</v>
      </c>
      <c r="I21" s="7">
        <f t="shared" si="2"/>
        <v>-141</v>
      </c>
      <c r="J21" s="14">
        <f t="shared" si="3"/>
        <v>23</v>
      </c>
    </row>
    <row r="22" ht="13.5" customHeight="1">
      <c r="B22" s="11">
        <v>45903.0</v>
      </c>
      <c r="C22" s="15">
        <v>66.0</v>
      </c>
      <c r="D22" s="7">
        <v>66.0</v>
      </c>
      <c r="E22" s="8">
        <v>66.0</v>
      </c>
      <c r="F22" s="7">
        <f t="shared" ref="F22:H22" si="20">SUM(F21,C22)</f>
        <v>1270</v>
      </c>
      <c r="G22" s="13">
        <f t="shared" si="20"/>
        <v>1247</v>
      </c>
      <c r="H22" s="7">
        <f t="shared" si="20"/>
        <v>1388</v>
      </c>
      <c r="I22" s="7">
        <f t="shared" si="2"/>
        <v>-141</v>
      </c>
      <c r="J22" s="14">
        <f t="shared" si="3"/>
        <v>23</v>
      </c>
    </row>
    <row r="23" ht="13.5" customHeight="1">
      <c r="B23" s="11">
        <v>45910.0</v>
      </c>
      <c r="C23" s="15">
        <v>77.0</v>
      </c>
      <c r="D23" s="7">
        <v>59.0</v>
      </c>
      <c r="E23" s="8">
        <v>46.0</v>
      </c>
      <c r="F23" s="9">
        <f t="shared" ref="F23:H23" si="21">SUM(F22,C23)</f>
        <v>1347</v>
      </c>
      <c r="G23" s="8">
        <f t="shared" si="21"/>
        <v>1306</v>
      </c>
      <c r="H23" s="9">
        <f t="shared" si="21"/>
        <v>1434</v>
      </c>
      <c r="I23" s="7">
        <f t="shared" si="2"/>
        <v>-128</v>
      </c>
      <c r="J23" s="14">
        <f t="shared" si="3"/>
        <v>41</v>
      </c>
    </row>
    <row r="24" ht="13.5" customHeight="1">
      <c r="B24" s="11">
        <v>45917.0</v>
      </c>
      <c r="C24" s="15">
        <v>94.0</v>
      </c>
      <c r="D24" s="7">
        <v>85.0</v>
      </c>
      <c r="E24" s="8">
        <v>59.0</v>
      </c>
      <c r="F24" s="7">
        <f t="shared" ref="F24:H24" si="22">SUM(F23,C24)</f>
        <v>1441</v>
      </c>
      <c r="G24" s="13">
        <f t="shared" si="22"/>
        <v>1391</v>
      </c>
      <c r="H24" s="7">
        <f t="shared" si="22"/>
        <v>1493</v>
      </c>
      <c r="I24" s="7">
        <f t="shared" si="2"/>
        <v>-102</v>
      </c>
      <c r="J24" s="14">
        <f t="shared" si="3"/>
        <v>50</v>
      </c>
    </row>
    <row r="25" ht="13.5" customHeight="1">
      <c r="B25" s="11">
        <v>45924.0</v>
      </c>
      <c r="C25" s="15">
        <v>47.0</v>
      </c>
      <c r="D25" s="7">
        <v>47.0</v>
      </c>
      <c r="E25" s="7">
        <v>31.0</v>
      </c>
      <c r="F25" s="9">
        <f t="shared" ref="F25:H25" si="23">SUM(F24,C25)</f>
        <v>1488</v>
      </c>
      <c r="G25" s="8">
        <f t="shared" si="23"/>
        <v>1438</v>
      </c>
      <c r="H25" s="9">
        <f t="shared" si="23"/>
        <v>1524</v>
      </c>
      <c r="I25" s="7">
        <f t="shared" si="2"/>
        <v>-86</v>
      </c>
      <c r="J25" s="14">
        <f t="shared" si="3"/>
        <v>50</v>
      </c>
    </row>
    <row r="26" ht="13.5" customHeight="1">
      <c r="B26" s="18">
        <v>45931.0</v>
      </c>
      <c r="C26" s="19">
        <v>52.0</v>
      </c>
      <c r="D26" s="19">
        <v>52.0</v>
      </c>
      <c r="E26" s="19">
        <v>38.5</v>
      </c>
      <c r="F26" s="7">
        <f t="shared" ref="F26:H26" si="24">SUM(F25,C26)</f>
        <v>1540</v>
      </c>
      <c r="G26" s="13">
        <f t="shared" si="24"/>
        <v>1490</v>
      </c>
      <c r="H26" s="7">
        <f t="shared" si="24"/>
        <v>1562.5</v>
      </c>
      <c r="I26" s="19">
        <f t="shared" si="2"/>
        <v>-72.5</v>
      </c>
      <c r="J26" s="20">
        <f t="shared" si="3"/>
        <v>50</v>
      </c>
    </row>
    <row r="27" ht="13.5" customHeight="1">
      <c r="B27" s="21">
        <v>45938.0</v>
      </c>
      <c r="C27" s="7">
        <v>47.0</v>
      </c>
      <c r="D27" s="7">
        <v>47.0</v>
      </c>
      <c r="E27" s="7">
        <v>39.5</v>
      </c>
      <c r="F27" s="9">
        <f t="shared" ref="F27:H27" si="25">SUM(F26,C27)</f>
        <v>1587</v>
      </c>
      <c r="G27" s="8">
        <f t="shared" si="25"/>
        <v>1537</v>
      </c>
      <c r="H27" s="9">
        <f t="shared" si="25"/>
        <v>1602</v>
      </c>
      <c r="I27" s="7">
        <f t="shared" si="2"/>
        <v>-65</v>
      </c>
      <c r="J27" s="7">
        <f t="shared" si="3"/>
        <v>50</v>
      </c>
    </row>
    <row r="28" ht="13.5" customHeight="1">
      <c r="B28" s="21">
        <v>45945.0</v>
      </c>
      <c r="C28" s="7">
        <v>47.0</v>
      </c>
      <c r="D28" s="22">
        <v>47.0</v>
      </c>
      <c r="E28" s="7">
        <v>38.5</v>
      </c>
      <c r="F28" s="9">
        <f t="shared" ref="F28:H28" si="26">SUM(F27,C28)</f>
        <v>1634</v>
      </c>
      <c r="G28" s="13">
        <f t="shared" si="26"/>
        <v>1584</v>
      </c>
      <c r="H28" s="9">
        <f t="shared" si="26"/>
        <v>1640.5</v>
      </c>
      <c r="I28" s="7">
        <f t="shared" si="2"/>
        <v>-56.5</v>
      </c>
      <c r="J28" s="7">
        <f t="shared" si="3"/>
        <v>50</v>
      </c>
    </row>
    <row r="29" ht="13.5" customHeight="1">
      <c r="B29" s="21">
        <v>45952.0</v>
      </c>
      <c r="C29" s="7">
        <v>47.0</v>
      </c>
      <c r="D29" s="7">
        <v>44.0</v>
      </c>
      <c r="E29" s="7">
        <v>28.0</v>
      </c>
      <c r="F29" s="23">
        <f t="shared" ref="F29:H29" si="27">SUM(F28,C29)</f>
        <v>1681</v>
      </c>
      <c r="G29" s="24">
        <f t="shared" si="27"/>
        <v>1628</v>
      </c>
      <c r="H29" s="23">
        <f t="shared" si="27"/>
        <v>1668.5</v>
      </c>
      <c r="I29" s="23">
        <f t="shared" si="2"/>
        <v>-40.5</v>
      </c>
      <c r="J29" s="23">
        <f t="shared" si="3"/>
        <v>53</v>
      </c>
    </row>
    <row r="30" ht="13.5" customHeight="1">
      <c r="B30" s="21">
        <v>45959.0</v>
      </c>
      <c r="C30" s="7">
        <v>62.0</v>
      </c>
      <c r="D30" s="7">
        <v>62.0</v>
      </c>
      <c r="E30" s="7">
        <v>42.0</v>
      </c>
      <c r="F30" s="25">
        <f t="shared" ref="F30:H30" si="28">SUM(F29,C30)</f>
        <v>1743</v>
      </c>
      <c r="G30" s="26">
        <f t="shared" si="28"/>
        <v>1690</v>
      </c>
      <c r="H30" s="25">
        <f t="shared" si="28"/>
        <v>1710.5</v>
      </c>
      <c r="I30" s="23">
        <f t="shared" si="2"/>
        <v>-20.5</v>
      </c>
      <c r="J30" s="23">
        <f t="shared" si="3"/>
        <v>53</v>
      </c>
    </row>
    <row r="31" ht="13.5" customHeight="1">
      <c r="B31" s="21">
        <v>45966.0</v>
      </c>
      <c r="C31" s="7">
        <v>55.0</v>
      </c>
      <c r="D31" s="7">
        <v>53.0</v>
      </c>
      <c r="E31" s="7">
        <v>42.5</v>
      </c>
      <c r="F31" s="23">
        <f t="shared" ref="F31:H31" si="29">SUM(F30,C31)</f>
        <v>1798</v>
      </c>
      <c r="G31" s="24">
        <f t="shared" si="29"/>
        <v>1743</v>
      </c>
      <c r="H31" s="23">
        <f t="shared" si="29"/>
        <v>1753</v>
      </c>
      <c r="I31" s="23">
        <f t="shared" si="2"/>
        <v>-10</v>
      </c>
      <c r="J31" s="23">
        <f t="shared" si="3"/>
        <v>55</v>
      </c>
    </row>
    <row r="32" ht="13.5" customHeight="1">
      <c r="B32" s="21">
        <v>45973.0</v>
      </c>
      <c r="C32" s="7">
        <v>55.0</v>
      </c>
      <c r="D32" s="7">
        <v>50.0</v>
      </c>
      <c r="E32" s="7">
        <v>37.0</v>
      </c>
      <c r="F32" s="25">
        <f t="shared" ref="F32:H32" si="30">SUM(F31,C32)</f>
        <v>1853</v>
      </c>
      <c r="G32" s="26">
        <f t="shared" si="30"/>
        <v>1793</v>
      </c>
      <c r="H32" s="25">
        <f t="shared" si="30"/>
        <v>1790</v>
      </c>
      <c r="I32" s="23">
        <f t="shared" si="2"/>
        <v>3</v>
      </c>
      <c r="J32" s="23">
        <f t="shared" si="3"/>
        <v>60</v>
      </c>
    </row>
    <row r="33" ht="13.5" customHeight="1">
      <c r="B33" s="18">
        <v>45980.0</v>
      </c>
      <c r="C33" s="7">
        <v>114.0</v>
      </c>
      <c r="D33" s="9">
        <v>99.0</v>
      </c>
      <c r="E33" s="9">
        <v>50.0</v>
      </c>
      <c r="F33" s="25">
        <f t="shared" ref="F33:H33" si="31">SUM(F32,C33)</f>
        <v>1967</v>
      </c>
      <c r="G33" s="24">
        <f t="shared" si="31"/>
        <v>1892</v>
      </c>
      <c r="H33" s="25">
        <f t="shared" si="31"/>
        <v>1840</v>
      </c>
      <c r="I33" s="25">
        <f t="shared" si="2"/>
        <v>52</v>
      </c>
      <c r="J33" s="27">
        <f t="shared" si="3"/>
        <v>75</v>
      </c>
    </row>
    <row r="34" ht="13.5" customHeight="1">
      <c r="B34" s="18">
        <v>45987.0</v>
      </c>
      <c r="C34" s="7">
        <v>85.0</v>
      </c>
      <c r="D34" s="7">
        <v>85.0</v>
      </c>
      <c r="E34" s="7">
        <v>48.0</v>
      </c>
      <c r="F34" s="23">
        <f t="shared" ref="F34:H34" si="32">SUM(F33,C34)</f>
        <v>2052</v>
      </c>
      <c r="G34" s="13">
        <f t="shared" si="32"/>
        <v>1977</v>
      </c>
      <c r="H34" s="7">
        <f t="shared" si="32"/>
        <v>1888</v>
      </c>
      <c r="I34" s="7">
        <f t="shared" si="2"/>
        <v>89</v>
      </c>
      <c r="J34" s="14">
        <f t="shared" si="3"/>
        <v>75</v>
      </c>
    </row>
    <row r="35" ht="13.5" customHeight="1">
      <c r="B35" s="18">
        <v>45994.0</v>
      </c>
      <c r="C35" s="7">
        <v>47.0</v>
      </c>
      <c r="D35" s="7">
        <v>47.0</v>
      </c>
      <c r="E35" s="7">
        <v>36.0</v>
      </c>
      <c r="F35" s="25">
        <f t="shared" ref="F35:H35" si="33">SUM(F34,C35)</f>
        <v>2099</v>
      </c>
      <c r="G35" s="8">
        <f t="shared" si="33"/>
        <v>2024</v>
      </c>
      <c r="H35" s="9">
        <f t="shared" si="33"/>
        <v>1924</v>
      </c>
      <c r="I35" s="7">
        <f t="shared" si="2"/>
        <v>100</v>
      </c>
      <c r="J35" s="14">
        <f t="shared" si="3"/>
        <v>75</v>
      </c>
    </row>
    <row r="36" ht="13.5" customHeight="1">
      <c r="B36" s="18">
        <v>46001.0</v>
      </c>
      <c r="C36" s="7">
        <v>67.0</v>
      </c>
      <c r="D36" s="7">
        <v>67.0</v>
      </c>
      <c r="E36" s="7">
        <v>65.5</v>
      </c>
      <c r="F36" s="25">
        <f t="shared" ref="F36:H36" si="34">SUM(F35,C36)</f>
        <v>2166</v>
      </c>
      <c r="G36" s="24">
        <f t="shared" si="34"/>
        <v>2091</v>
      </c>
      <c r="H36" s="25">
        <f t="shared" si="34"/>
        <v>1989.5</v>
      </c>
      <c r="I36" s="23">
        <f t="shared" si="2"/>
        <v>101.5</v>
      </c>
      <c r="J36" s="28">
        <f t="shared" si="3"/>
        <v>75</v>
      </c>
    </row>
    <row r="37" ht="13.5" customHeight="1">
      <c r="B37" s="18">
        <v>46002.0</v>
      </c>
      <c r="C37" s="29">
        <v>0.0</v>
      </c>
      <c r="D37" s="29">
        <v>25.0</v>
      </c>
      <c r="E37" s="7">
        <v>65.5</v>
      </c>
      <c r="F37" s="25">
        <f t="shared" ref="F37:H37" si="35">SUM(F36,C37)</f>
        <v>2166</v>
      </c>
      <c r="G37" s="24">
        <f t="shared" si="35"/>
        <v>2116</v>
      </c>
      <c r="H37" s="25">
        <f t="shared" si="35"/>
        <v>2055</v>
      </c>
      <c r="I37" s="23">
        <f t="shared" si="2"/>
        <v>61</v>
      </c>
      <c r="J37" s="28">
        <f t="shared" si="3"/>
        <v>50</v>
      </c>
    </row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2025-05-06T09:58:36Z</dcterms:created>
  <dc:creator>openpyxl</dc:creator>
</cp:coreProperties>
</file>